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kwin\Desktop\"/>
    </mc:Choice>
  </mc:AlternateContent>
  <xr:revisionPtr revIDLastSave="0" documentId="13_ncr:1_{57F65A50-5B89-4308-A06E-8723A9237570}" xr6:coauthVersionLast="47" xr6:coauthVersionMax="47" xr10:uidLastSave="{00000000-0000-0000-0000-000000000000}"/>
  <bookViews>
    <workbookView xWindow="20370" yWindow="-120" windowWidth="29040" windowHeight="15720" xr2:uid="{1C02D2C1-A297-4F1B-BBAA-B96A772E4EA5}"/>
  </bookViews>
  <sheets>
    <sheet name="転記" sheetId="1" r:id="rId1"/>
    <sheet name="管理表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1" l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<sst xmlns="http://schemas.openxmlformats.org/spreadsheetml/2006/main" count="108" uniqueCount="91">
  <si>
    <t>タイトル</t>
    <phoneticPr fontId="1"/>
  </si>
  <si>
    <t>文書番号</t>
    <rPh sb="0" eb="4">
      <t>ブンショバンゴウ</t>
    </rPh>
    <phoneticPr fontId="1"/>
  </si>
  <si>
    <t>分類</t>
    <rPh sb="0" eb="2">
      <t>ブンルイ</t>
    </rPh>
    <phoneticPr fontId="1"/>
  </si>
  <si>
    <t>作者</t>
    <rPh sb="0" eb="2">
      <t>サクシャ</t>
    </rPh>
    <phoneticPr fontId="1"/>
  </si>
  <si>
    <t>発売日</t>
    <rPh sb="0" eb="3">
      <t>ハツバイビ</t>
    </rPh>
    <phoneticPr fontId="1"/>
  </si>
  <si>
    <t>価格</t>
    <rPh sb="0" eb="2">
      <t>カカク</t>
    </rPh>
    <phoneticPr fontId="1"/>
  </si>
  <si>
    <t>コメント</t>
  </si>
  <si>
    <t>コメント</t>
    <phoneticPr fontId="1"/>
  </si>
  <si>
    <t>一月の軌跡</t>
  </si>
  <si>
    <t>一月の軌跡</t>
    <rPh sb="0" eb="2">
      <t>イチガツ</t>
    </rPh>
    <rPh sb="3" eb="5">
      <t>キセキ</t>
    </rPh>
    <phoneticPr fontId="1"/>
  </si>
  <si>
    <t>五月雨</t>
  </si>
  <si>
    <t>五月雨</t>
    <rPh sb="0" eb="3">
      <t>サミダレ</t>
    </rPh>
    <phoneticPr fontId="1"/>
  </si>
  <si>
    <t>111-123</t>
  </si>
  <si>
    <t>111-123</t>
    <phoneticPr fontId="1"/>
  </si>
  <si>
    <t>222-123</t>
  </si>
  <si>
    <t>222-123</t>
    <phoneticPr fontId="1"/>
  </si>
  <si>
    <t>333-123</t>
  </si>
  <si>
    <t>333-123</t>
    <phoneticPr fontId="1"/>
  </si>
  <si>
    <t>444-123</t>
  </si>
  <si>
    <t>444-123</t>
    <phoneticPr fontId="1"/>
  </si>
  <si>
    <t>555-123</t>
  </si>
  <si>
    <t>555-123</t>
    <phoneticPr fontId="1"/>
  </si>
  <si>
    <t>２国の文化</t>
  </si>
  <si>
    <t>２国の文化</t>
    <rPh sb="1" eb="2">
      <t>クニ</t>
    </rPh>
    <rPh sb="3" eb="5">
      <t>ブンカ</t>
    </rPh>
    <phoneticPr fontId="1"/>
  </si>
  <si>
    <t>四国巡り</t>
  </si>
  <si>
    <t>四国巡り</t>
    <rPh sb="0" eb="3">
      <t>シコクメグ</t>
    </rPh>
    <phoneticPr fontId="1"/>
  </si>
  <si>
    <t>旅</t>
  </si>
  <si>
    <t>旅</t>
    <rPh sb="0" eb="1">
      <t>タビ</t>
    </rPh>
    <phoneticPr fontId="1"/>
  </si>
  <si>
    <t>歴史</t>
  </si>
  <si>
    <t>歴史</t>
    <rPh sb="0" eb="2">
      <t>レキシ</t>
    </rPh>
    <phoneticPr fontId="1"/>
  </si>
  <si>
    <t>文学</t>
  </si>
  <si>
    <t>文学</t>
    <rPh sb="0" eb="2">
      <t>ブンガク</t>
    </rPh>
    <phoneticPr fontId="1"/>
  </si>
  <si>
    <t>科学図鑑</t>
  </si>
  <si>
    <t>科学図鑑</t>
    <rPh sb="0" eb="4">
      <t>カガクズカン</t>
    </rPh>
    <phoneticPr fontId="1"/>
  </si>
  <si>
    <t>科学</t>
  </si>
  <si>
    <t>科学</t>
    <rPh sb="0" eb="2">
      <t>カガク</t>
    </rPh>
    <phoneticPr fontId="1"/>
  </si>
  <si>
    <t>一橋太郎</t>
  </si>
  <si>
    <t>一橋太郎</t>
    <rPh sb="0" eb="2">
      <t>ヒトツバシ</t>
    </rPh>
    <rPh sb="2" eb="4">
      <t>タロウ</t>
    </rPh>
    <phoneticPr fontId="1"/>
  </si>
  <si>
    <t>二見信二</t>
  </si>
  <si>
    <t>二見信二</t>
    <rPh sb="0" eb="2">
      <t>フタミ</t>
    </rPh>
    <rPh sb="2" eb="4">
      <t>シンジ</t>
    </rPh>
    <phoneticPr fontId="1"/>
  </si>
  <si>
    <t>三馬正</t>
  </si>
  <si>
    <t>三馬正</t>
    <rPh sb="0" eb="2">
      <t>サンバ</t>
    </rPh>
    <rPh sb="2" eb="3">
      <t>タダシ</t>
    </rPh>
    <phoneticPr fontId="1"/>
  </si>
  <si>
    <t>五条基樹</t>
  </si>
  <si>
    <t>五条基樹</t>
    <rPh sb="0" eb="2">
      <t>ゴジョウ</t>
    </rPh>
    <rPh sb="2" eb="4">
      <t>モトキ</t>
    </rPh>
    <phoneticPr fontId="1"/>
  </si>
  <si>
    <t>出版社</t>
    <rPh sb="0" eb="3">
      <t>シュッパンシャ</t>
    </rPh>
    <phoneticPr fontId="1"/>
  </si>
  <si>
    <t>A出版</t>
  </si>
  <si>
    <t>A出版</t>
    <rPh sb="1" eb="3">
      <t>シュッパン</t>
    </rPh>
    <phoneticPr fontId="1"/>
  </si>
  <si>
    <t>B出版</t>
  </si>
  <si>
    <t>B出版</t>
    <rPh sb="1" eb="3">
      <t>シュッパン</t>
    </rPh>
    <phoneticPr fontId="1"/>
  </si>
  <si>
    <t>C出版</t>
  </si>
  <si>
    <t>C出版</t>
    <rPh sb="1" eb="3">
      <t>シュッパン</t>
    </rPh>
    <phoneticPr fontId="1"/>
  </si>
  <si>
    <t>D出版</t>
  </si>
  <si>
    <t>D出版</t>
    <rPh sb="1" eb="3">
      <t>シュッパン</t>
    </rPh>
    <phoneticPr fontId="1"/>
  </si>
  <si>
    <t>E出版</t>
  </si>
  <si>
    <t>E出版</t>
    <rPh sb="1" eb="3">
      <t>シュッパン</t>
    </rPh>
    <phoneticPr fontId="1"/>
  </si>
  <si>
    <t>受注番号</t>
    <rPh sb="0" eb="2">
      <t>ジュチュウ</t>
    </rPh>
    <rPh sb="2" eb="4">
      <t>バンゴウ</t>
    </rPh>
    <phoneticPr fontId="1"/>
  </si>
  <si>
    <t>ﾀｲﾄﾙｶﾅ</t>
    <phoneticPr fontId="1"/>
  </si>
  <si>
    <t>発注先</t>
    <rPh sb="0" eb="2">
      <t>ハッチュウ</t>
    </rPh>
    <rPh sb="2" eb="3">
      <t>サキ</t>
    </rPh>
    <phoneticPr fontId="1"/>
  </si>
  <si>
    <t>発注日</t>
    <rPh sb="0" eb="3">
      <t>ハッチュウビ</t>
    </rPh>
    <phoneticPr fontId="1"/>
  </si>
  <si>
    <t>担当者</t>
    <rPh sb="0" eb="3">
      <t>タントウシャ</t>
    </rPh>
    <phoneticPr fontId="1"/>
  </si>
  <si>
    <t>備考１</t>
    <rPh sb="0" eb="2">
      <t>ビコウ</t>
    </rPh>
    <phoneticPr fontId="1"/>
  </si>
  <si>
    <t>備考２</t>
    <rPh sb="0" eb="2">
      <t>ビコウ</t>
    </rPh>
    <phoneticPr fontId="1"/>
  </si>
  <si>
    <t>柴恵理</t>
  </si>
  <si>
    <t>柴恵理</t>
    <rPh sb="0" eb="1">
      <t>シバ</t>
    </rPh>
    <rPh sb="1" eb="3">
      <t>エリ</t>
    </rPh>
    <phoneticPr fontId="1"/>
  </si>
  <si>
    <t>発注先担当者</t>
    <rPh sb="0" eb="2">
      <t>ハッチュウ</t>
    </rPh>
    <rPh sb="2" eb="3">
      <t>サキ</t>
    </rPh>
    <rPh sb="3" eb="6">
      <t>タントウシャ</t>
    </rPh>
    <phoneticPr fontId="1"/>
  </si>
  <si>
    <t>発注手段</t>
    <rPh sb="0" eb="4">
      <t>ハッチュウシュダン</t>
    </rPh>
    <phoneticPr fontId="1"/>
  </si>
  <si>
    <t>列番号</t>
    <rPh sb="0" eb="3">
      <t>レツバンゴウ</t>
    </rPh>
    <phoneticPr fontId="1"/>
  </si>
  <si>
    <t>行番号</t>
    <rPh sb="0" eb="3">
      <t>ギョウバンゴウ</t>
    </rPh>
    <phoneticPr fontId="1"/>
  </si>
  <si>
    <t>12-001</t>
    <phoneticPr fontId="1"/>
  </si>
  <si>
    <t>12-002</t>
    <phoneticPr fontId="1"/>
  </si>
  <si>
    <t>12-003</t>
  </si>
  <si>
    <t>12-004</t>
  </si>
  <si>
    <t>12-005</t>
  </si>
  <si>
    <t>一月の軌跡</t>
    <phoneticPr fontId="1"/>
  </si>
  <si>
    <t>111-123</t>
    <phoneticPr fontId="1"/>
  </si>
  <si>
    <t>文学</t>
    <phoneticPr fontId="1"/>
  </si>
  <si>
    <t>一橋太郎</t>
    <phoneticPr fontId="1"/>
  </si>
  <si>
    <t>A出版</t>
    <phoneticPr fontId="1"/>
  </si>
  <si>
    <t>コメント</t>
    <phoneticPr fontId="1"/>
  </si>
  <si>
    <t>科学図鑑</t>
    <phoneticPr fontId="1"/>
  </si>
  <si>
    <t>333-123</t>
    <phoneticPr fontId="1"/>
  </si>
  <si>
    <t>科学</t>
    <phoneticPr fontId="1"/>
  </si>
  <si>
    <t>三馬正</t>
    <phoneticPr fontId="1"/>
  </si>
  <si>
    <t>C出版</t>
    <phoneticPr fontId="1"/>
  </si>
  <si>
    <t>五月雨</t>
    <phoneticPr fontId="1"/>
  </si>
  <si>
    <t>555-123</t>
    <phoneticPr fontId="1"/>
  </si>
  <si>
    <t>五条基樹</t>
    <phoneticPr fontId="1"/>
  </si>
  <si>
    <t>E出版</t>
    <phoneticPr fontId="1"/>
  </si>
  <si>
    <t>千葉</t>
    <rPh sb="0" eb="2">
      <t>チバ</t>
    </rPh>
    <phoneticPr fontId="1"/>
  </si>
  <si>
    <t>Q</t>
    <phoneticPr fontId="1"/>
  </si>
  <si>
    <t>千葉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</si>
</sst>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AB871-D106-4858-8B71-AC246C2AF338}">
  <sheetPr codeName="Sheet1"/>
  <dimension ref="A1:G10"/>
  <sheetViews>
    <sheetView tabSelected="1" workbookViewId="0"/>
  </sheetViews>
  <sheetFormatPr defaultRowHeight="18.75" x14ac:dyDescent="0.4"/>
  <cols>
    <col min="1" max="1" width="4.625" customWidth="1"/>
    <col min="3" max="4" width="11.375" bestFit="1" customWidth="1"/>
    <col min="5" max="6" width="10.25" bestFit="1" customWidth="1"/>
    <col min="7" max="7" width="11.375" bestFit="1" customWidth="1"/>
  </cols>
  <sheetData>
    <row r="1" spans="1:7" x14ac:dyDescent="0.4">
      <c r="A1" s="2" t="s">
        <v>66</v>
      </c>
      <c r="B1" s="3" t="s">
        <v>67</v>
      </c>
      <c r="C1" s="4">
        <v>7</v>
      </c>
      <c r="D1" s="4"/>
      <c r="E1" s="4">
        <v>11</v>
      </c>
      <c r="F1" s="4"/>
      <c r="G1" s="4">
        <v>13</v>
      </c>
    </row>
    <row r="2" spans="1:7" x14ac:dyDescent="0.4">
      <c r="A2" s="5" t="str">
        <f>SUBSTITUTE(ADDRESS(1,MATCH(B2,管理表!$A$1:$P$1,0),4),"1","")</f>
        <v>F</v>
      </c>
      <c r="B2" s="6" t="s">
        <v>0</v>
      </c>
      <c r="C2" t="s">
        <v>9</v>
      </c>
      <c r="D2" t="s">
        <v>23</v>
      </c>
      <c r="E2" t="s">
        <v>33</v>
      </c>
      <c r="F2" t="s">
        <v>25</v>
      </c>
      <c r="G2" t="s">
        <v>11</v>
      </c>
    </row>
    <row r="3" spans="1:7" x14ac:dyDescent="0.4">
      <c r="A3" s="5" t="str">
        <f>SUBSTITUTE(ADDRESS(1,MATCH(B3,管理表!$A$1:$P$1,0),4),"1","")</f>
        <v>M</v>
      </c>
      <c r="B3" s="6" t="s">
        <v>1</v>
      </c>
      <c r="C3" t="s">
        <v>13</v>
      </c>
      <c r="D3" t="s">
        <v>15</v>
      </c>
      <c r="E3" t="s">
        <v>17</v>
      </c>
      <c r="F3" t="s">
        <v>19</v>
      </c>
      <c r="G3" t="s">
        <v>21</v>
      </c>
    </row>
    <row r="4" spans="1:7" x14ac:dyDescent="0.4">
      <c r="A4" s="5" t="str">
        <f>SUBSTITUTE(ADDRESS(1,MATCH(B4,管理表!$A$1:$P$1,0),4),"1","")</f>
        <v>E</v>
      </c>
      <c r="B4" s="6" t="s">
        <v>2</v>
      </c>
      <c r="C4" t="s">
        <v>31</v>
      </c>
      <c r="D4" t="s">
        <v>29</v>
      </c>
      <c r="E4" t="s">
        <v>35</v>
      </c>
      <c r="F4" t="s">
        <v>27</v>
      </c>
      <c r="G4" t="s">
        <v>31</v>
      </c>
    </row>
    <row r="5" spans="1:7" x14ac:dyDescent="0.4">
      <c r="A5" s="5" t="str">
        <f>SUBSTITUTE(ADDRESS(1,MATCH(B5,管理表!$A$1:$P$1,0),4),"1","")</f>
        <v>O</v>
      </c>
      <c r="B5" s="6" t="s">
        <v>3</v>
      </c>
      <c r="C5" t="s">
        <v>37</v>
      </c>
      <c r="D5" t="s">
        <v>39</v>
      </c>
      <c r="E5" t="s">
        <v>41</v>
      </c>
      <c r="F5" t="s">
        <v>63</v>
      </c>
      <c r="G5" t="s">
        <v>43</v>
      </c>
    </row>
    <row r="6" spans="1:7" x14ac:dyDescent="0.4">
      <c r="A6" s="5" t="str">
        <f>SUBSTITUTE(ADDRESS(1,MATCH(B6,管理表!$A$1:$P$1,0),4),"1","")</f>
        <v>C</v>
      </c>
      <c r="B6" s="6" t="s">
        <v>4</v>
      </c>
      <c r="C6" s="1">
        <v>46003</v>
      </c>
      <c r="D6" s="1">
        <v>45931</v>
      </c>
      <c r="E6" s="1">
        <v>45922</v>
      </c>
      <c r="F6" s="1">
        <v>45510</v>
      </c>
      <c r="G6" s="1">
        <v>45614</v>
      </c>
    </row>
    <row r="7" spans="1:7" x14ac:dyDescent="0.4">
      <c r="A7" s="5" t="str">
        <f>SUBSTITUTE(ADDRESS(1,MATCH(B7,管理表!$A$1:$P$1,0),4),"1","")</f>
        <v>P</v>
      </c>
      <c r="B7" s="6" t="s">
        <v>5</v>
      </c>
      <c r="C7">
        <v>1200</v>
      </c>
      <c r="D7">
        <v>800</v>
      </c>
      <c r="E7">
        <v>3500</v>
      </c>
      <c r="F7">
        <v>650</v>
      </c>
      <c r="G7">
        <v>780</v>
      </c>
    </row>
    <row r="8" spans="1:7" x14ac:dyDescent="0.4">
      <c r="A8" s="5" t="str">
        <f>SUBSTITUTE(ADDRESS(1,MATCH(B8,管理表!$A$1:$P$1,0),4),"1","")</f>
        <v>N</v>
      </c>
      <c r="B8" s="6" t="s">
        <v>44</v>
      </c>
      <c r="C8" t="s">
        <v>46</v>
      </c>
      <c r="D8" t="s">
        <v>48</v>
      </c>
      <c r="E8" t="s">
        <v>50</v>
      </c>
      <c r="F8" t="s">
        <v>52</v>
      </c>
      <c r="G8" t="s">
        <v>54</v>
      </c>
    </row>
    <row r="9" spans="1:7" x14ac:dyDescent="0.4">
      <c r="A9" s="5" t="str">
        <f>SUBSTITUTE(ADDRESS(1,MATCH(B9,管理表!$A$1:$P$1,0),4),"1","")</f>
        <v>H</v>
      </c>
      <c r="B9" s="6" t="s">
        <v>60</v>
      </c>
      <c r="C9" t="s">
        <v>7</v>
      </c>
      <c r="E9" t="s">
        <v>7</v>
      </c>
      <c r="G9" t="s">
        <v>7</v>
      </c>
    </row>
    <row r="10" spans="1:7" x14ac:dyDescent="0.4">
      <c r="A10" t="s">
        <v>89</v>
      </c>
      <c r="B10" s="6"/>
      <c r="C10" t="s">
        <v>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77568-9E7E-4B56-850C-54324805D5B3}">
  <sheetPr codeName="Sheet2"/>
  <dimension ref="A1:Q13"/>
  <sheetViews>
    <sheetView zoomScale="70" zoomScaleNormal="70" workbookViewId="0">
      <selection activeCell="Q7" sqref="Q7"/>
    </sheetView>
  </sheetViews>
  <sheetFormatPr defaultRowHeight="18.75" x14ac:dyDescent="0.4"/>
  <cols>
    <col min="3" max="3" width="12.625" customWidth="1"/>
    <col min="11" max="11" width="14" customWidth="1"/>
  </cols>
  <sheetData>
    <row r="1" spans="1:17" x14ac:dyDescent="0.4">
      <c r="A1" s="7" t="s">
        <v>55</v>
      </c>
      <c r="B1" s="7" t="s">
        <v>59</v>
      </c>
      <c r="C1" s="7" t="s">
        <v>4</v>
      </c>
      <c r="D1" s="7" t="s">
        <v>58</v>
      </c>
      <c r="E1" s="7" t="s">
        <v>2</v>
      </c>
      <c r="F1" s="7" t="s">
        <v>0</v>
      </c>
      <c r="G1" s="7" t="s">
        <v>56</v>
      </c>
      <c r="H1" s="7" t="s">
        <v>60</v>
      </c>
      <c r="I1" s="7" t="s">
        <v>57</v>
      </c>
      <c r="J1" s="7" t="s">
        <v>65</v>
      </c>
      <c r="K1" s="7" t="s">
        <v>64</v>
      </c>
      <c r="L1" s="7" t="s">
        <v>61</v>
      </c>
      <c r="M1" s="7" t="s">
        <v>1</v>
      </c>
      <c r="N1" s="7" t="s">
        <v>44</v>
      </c>
      <c r="O1" s="7" t="s">
        <v>3</v>
      </c>
      <c r="P1" s="7" t="s">
        <v>5</v>
      </c>
    </row>
    <row r="2" spans="1:17" x14ac:dyDescent="0.4">
      <c r="A2" t="s">
        <v>68</v>
      </c>
      <c r="C2" s="1">
        <v>46003</v>
      </c>
      <c r="E2" t="s">
        <v>30</v>
      </c>
      <c r="F2" t="s">
        <v>8</v>
      </c>
      <c r="H2" t="s">
        <v>6</v>
      </c>
      <c r="M2" t="s">
        <v>12</v>
      </c>
      <c r="N2" t="s">
        <v>45</v>
      </c>
      <c r="O2" t="s">
        <v>36</v>
      </c>
      <c r="P2">
        <v>1200</v>
      </c>
    </row>
    <row r="3" spans="1:17" x14ac:dyDescent="0.4">
      <c r="A3" t="s">
        <v>69</v>
      </c>
      <c r="C3" s="1">
        <v>45931</v>
      </c>
      <c r="E3" t="s">
        <v>28</v>
      </c>
      <c r="F3" t="s">
        <v>22</v>
      </c>
      <c r="M3" t="s">
        <v>14</v>
      </c>
      <c r="N3" t="s">
        <v>47</v>
      </c>
      <c r="O3" t="s">
        <v>38</v>
      </c>
      <c r="P3">
        <v>800</v>
      </c>
    </row>
    <row r="4" spans="1:17" x14ac:dyDescent="0.4">
      <c r="A4" t="s">
        <v>70</v>
      </c>
      <c r="C4" s="1">
        <v>45922</v>
      </c>
      <c r="E4" t="s">
        <v>34</v>
      </c>
      <c r="F4" t="s">
        <v>32</v>
      </c>
      <c r="H4" t="s">
        <v>6</v>
      </c>
      <c r="M4" t="s">
        <v>16</v>
      </c>
      <c r="N4" t="s">
        <v>49</v>
      </c>
      <c r="O4" t="s">
        <v>40</v>
      </c>
      <c r="P4">
        <v>3500</v>
      </c>
    </row>
    <row r="5" spans="1:17" x14ac:dyDescent="0.4">
      <c r="A5" t="s">
        <v>71</v>
      </c>
      <c r="C5" s="1">
        <v>45510</v>
      </c>
      <c r="E5" t="s">
        <v>26</v>
      </c>
      <c r="F5" t="s">
        <v>24</v>
      </c>
      <c r="M5" t="s">
        <v>18</v>
      </c>
      <c r="N5" t="s">
        <v>51</v>
      </c>
      <c r="O5" t="s">
        <v>62</v>
      </c>
      <c r="P5">
        <v>650</v>
      </c>
    </row>
    <row r="6" spans="1:17" x14ac:dyDescent="0.4">
      <c r="A6" t="s">
        <v>72</v>
      </c>
      <c r="C6" s="1">
        <v>45614</v>
      </c>
      <c r="E6" t="s">
        <v>30</v>
      </c>
      <c r="F6" t="s">
        <v>10</v>
      </c>
      <c r="H6" t="s">
        <v>6</v>
      </c>
      <c r="M6" t="s">
        <v>20</v>
      </c>
      <c r="N6" t="s">
        <v>53</v>
      </c>
      <c r="O6" t="s">
        <v>42</v>
      </c>
      <c r="P6">
        <v>780</v>
      </c>
    </row>
    <row r="7" spans="1:17" x14ac:dyDescent="0.4">
      <c r="C7" s="1">
        <v>46003</v>
      </c>
      <c r="E7" t="s">
        <v>75</v>
      </c>
      <c r="F7" t="s">
        <v>73</v>
      </c>
      <c r="H7" t="s">
        <v>78</v>
      </c>
      <c r="M7" t="s">
        <v>74</v>
      </c>
      <c r="N7" t="s">
        <v>77</v>
      </c>
      <c r="O7" t="s">
        <v>76</v>
      </c>
      <c r="P7">
        <v>1200</v>
      </c>
      <c r="Q7" t="s">
        <v>90</v>
      </c>
    </row>
    <row r="11" spans="1:17" x14ac:dyDescent="0.4">
      <c r="C11" s="1">
        <v>45922</v>
      </c>
      <c r="E11" t="s">
        <v>81</v>
      </c>
      <c r="F11" t="s">
        <v>79</v>
      </c>
      <c r="H11" t="s">
        <v>78</v>
      </c>
      <c r="M11" t="s">
        <v>80</v>
      </c>
      <c r="N11" t="s">
        <v>83</v>
      </c>
      <c r="O11" t="s">
        <v>82</v>
      </c>
      <c r="P11">
        <v>3500</v>
      </c>
    </row>
    <row r="13" spans="1:17" x14ac:dyDescent="0.4">
      <c r="C13" s="1">
        <v>45614</v>
      </c>
      <c r="E13" t="s">
        <v>75</v>
      </c>
      <c r="F13" t="s">
        <v>84</v>
      </c>
      <c r="H13" t="s">
        <v>78</v>
      </c>
      <c r="M13" t="s">
        <v>85</v>
      </c>
      <c r="N13" t="s">
        <v>87</v>
      </c>
      <c r="O13" t="s">
        <v>86</v>
      </c>
      <c r="P13">
        <v>780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転記</vt:lpstr>
      <vt:lpstr>管理表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ykwin</dc:creator>
  <cp:lastModifiedBy>ykwin</cp:lastModifiedBy>
  <dcterms:created xsi:type="dcterms:W3CDTF">2025-12-12T12:00:12Z</dcterms:created>
  <dcterms:modified xsi:type="dcterms:W3CDTF">2025-12-12T13:36:33Z</dcterms:modified>
</cp:coreProperties>
</file>